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xkrontal-my.sharepoint.com/personal/roman_sliusar_marxkrontal_com/Documents/Dokumente/GitHub/entwicklungsprojekte/projekts/MultiConnect-Leer/"/>
    </mc:Choice>
  </mc:AlternateContent>
  <xr:revisionPtr revIDLastSave="20" documentId="8_{92ABD8AB-B655-4332-AE4B-241884B5C155}" xr6:coauthVersionLast="47" xr6:coauthVersionMax="47" xr10:uidLastSave="{D6A69E40-7CBD-46C7-BBFA-FEE8E62920B8}"/>
  <bookViews>
    <workbookView xWindow="-120" yWindow="-120" windowWidth="29040" windowHeight="17520" firstSheet="1" activeTab="4" xr2:uid="{B59F1D5D-5D6B-44F3-B425-2BC9D2B49438}"/>
  </bookViews>
  <sheets>
    <sheet name="Listen" sheetId="5" state="hidden" r:id="rId1"/>
    <sheet name="Datenbasis" sheetId="4" r:id="rId2"/>
    <sheet name="Batterien" sheetId="3" r:id="rId3"/>
    <sheet name="Vergleich" sheetId="2" r:id="rId4"/>
    <sheet name="Prognose" sheetId="1" r:id="rId5"/>
  </sheets>
  <definedNames>
    <definedName name="_xlnm._FilterDatabase" localSheetId="2" hidden="1">Batterien!$A$4:$G$9</definedName>
    <definedName name="_xlnm._FilterDatabase" localSheetId="3" hidden="1">Vergleich!$A$4:$J$9</definedName>
    <definedName name="BatterieListe">Batterien!$A$5:$A$9</definedName>
    <definedName name="ZellenListe">Listen!$A$2:$A$21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B9" i="2"/>
  <c r="D9" i="2" s="1"/>
  <c r="E9" i="2" s="1"/>
  <c r="A9" i="2"/>
  <c r="C8" i="2"/>
  <c r="B8" i="2"/>
  <c r="D8" i="2" s="1"/>
  <c r="E8" i="2" s="1"/>
  <c r="A8" i="2"/>
  <c r="C7" i="2"/>
  <c r="B7" i="2"/>
  <c r="D7" i="2" s="1"/>
  <c r="E7" i="2" s="1"/>
  <c r="A7" i="2"/>
  <c r="C6" i="2"/>
  <c r="B6" i="2"/>
  <c r="D6" i="2" s="1"/>
  <c r="E6" i="2" s="1"/>
  <c r="A6" i="2"/>
  <c r="C5" i="2"/>
  <c r="B5" i="2"/>
  <c r="D5" i="2" s="1"/>
  <c r="E5" i="2" s="1"/>
  <c r="A5" i="2"/>
  <c r="G7" i="1"/>
  <c r="G6" i="1"/>
  <c r="B27" i="1"/>
  <c r="B25" i="1"/>
  <c r="G10" i="1" s="1"/>
  <c r="B24" i="1"/>
  <c r="B23" i="1"/>
  <c r="B20" i="1"/>
  <c r="B21" i="1" s="1"/>
  <c r="B22" i="1" s="1"/>
  <c r="B13" i="1"/>
  <c r="B26" i="1" l="1"/>
  <c r="B28" i="1"/>
  <c r="B29" i="1" s="1"/>
  <c r="G5" i="2" s="1"/>
  <c r="H5" i="2" s="1"/>
  <c r="I5" i="2" s="1"/>
  <c r="G9" i="2" l="1"/>
  <c r="H9" i="2" s="1"/>
  <c r="I9" i="2" s="1"/>
  <c r="F7" i="2"/>
  <c r="J7" i="2" s="1"/>
  <c r="B30" i="1"/>
  <c r="B31" i="1" s="1"/>
  <c r="B36" i="1" s="1"/>
  <c r="F5" i="2"/>
  <c r="J5" i="2" s="1"/>
  <c r="G8" i="2"/>
  <c r="H8" i="2" s="1"/>
  <c r="I8" i="2" s="1"/>
  <c r="G7" i="2"/>
  <c r="H7" i="2" s="1"/>
  <c r="I7" i="2" s="1"/>
  <c r="F9" i="2"/>
  <c r="J9" i="2" s="1"/>
  <c r="F8" i="2"/>
  <c r="J8" i="2" s="1"/>
  <c r="F6" i="2"/>
  <c r="J6" i="2" s="1"/>
  <c r="G6" i="2"/>
  <c r="H6" i="2" s="1"/>
  <c r="I6" i="2" s="1"/>
  <c r="B32" i="1" l="1"/>
  <c r="B33" i="1" s="1"/>
  <c r="B34" i="1" s="1"/>
  <c r="G8" i="1" s="1"/>
  <c r="B35" i="1"/>
  <c r="G9" i="1" s="1"/>
</calcChain>
</file>

<file path=xl/sharedStrings.xml><?xml version="1.0" encoding="utf-8"?>
<sst xmlns="http://schemas.openxmlformats.org/spreadsheetml/2006/main" count="194" uniqueCount="151">
  <si>
    <t>Anzahl Zellen</t>
  </si>
  <si>
    <t>Batteriedaten - nominale Vergleichswerte</t>
  </si>
  <si>
    <t>Hinweis: Die Kapazitaet ist ein nominaler Datenblatt-/Marktwert. Die tatsaechlich nutzbare Kapazitaet haengt von Entladestrom, Temperatur und Abschaltspannung ab.</t>
  </si>
  <si>
    <t>Batterietyp</t>
  </si>
  <si>
    <t>Hersteller</t>
  </si>
  <si>
    <t>Nennspannung [V]</t>
  </si>
  <si>
    <t>Nennkapazitaet [Ah]</t>
  </si>
  <si>
    <t>Chemie</t>
  </si>
  <si>
    <t>Typische Verwendung</t>
  </si>
  <si>
    <t>Datenbasis / Pruefhinweis</t>
  </si>
  <si>
    <t>EVE INR18650-35E</t>
  </si>
  <si>
    <t>EVE</t>
  </si>
  <si>
    <t>Li-Ion, wiederaufladbar</t>
  </si>
  <si>
    <t>18650-Zelle</t>
  </si>
  <si>
    <t>3500 mAh Nennkapazitaet; Datenblattbedingungen pruefen</t>
  </si>
  <si>
    <t>Saft LS26500</t>
  </si>
  <si>
    <t>Saft</t>
  </si>
  <si>
    <t>Li-SOCl2, primaer</t>
  </si>
  <si>
    <t>C / Baby-Zelle</t>
  </si>
  <si>
    <t>ca. 7,7 Ah; Kapazitaet abhaengig von Last und Abschaltspannung</t>
  </si>
  <si>
    <t>Saft LSH14</t>
  </si>
  <si>
    <t>Li-SOCl2, High Power</t>
  </si>
  <si>
    <t>ca. 5,8 Ah; Spiralzelle fuer hoeheren Pulsstrom</t>
  </si>
  <si>
    <t>Saft LS26500 PLUS</t>
  </si>
  <si>
    <t>ca. 8,5 Ah; genaue PLUS-Datenblattkurve pruefen</t>
  </si>
  <si>
    <t>Saft LS14500</t>
  </si>
  <si>
    <t>AA-Zelle</t>
  </si>
  <si>
    <t>ca. 2,6 Ah; Kapazitaet abhaengig von Last und Abschaltspannung</t>
  </si>
  <si>
    <t>Vor Serienfreigabe bitte die exakte Zellvariante, Entladekurve, Temperatur und Abschaltspannung aus dem Herstellerdatenblatt bestaetigen. Besonders bei LS26500 und LS26500 PLUS koennen die Ah-Werte je nach Pruefbedingung abweichen.</t>
  </si>
  <si>
    <t>Datenbasis der Laufzeitprognose</t>
  </si>
  <si>
    <t>Quelle</t>
  </si>
  <si>
    <t>Python_UDBF_2026-09-11_09-54-36.csv</t>
  </si>
  <si>
    <t>Messung am 11.09.2026; Abtastintervall 2 ms</t>
  </si>
  <si>
    <t>Messdauer CSV</t>
  </si>
  <si>
    <t>s</t>
  </si>
  <si>
    <t>47.442 Samples</t>
  </si>
  <si>
    <t>Aktiver Block</t>
  </si>
  <si>
    <t>Erkannt bei Strom &gt;= 5 mA</t>
  </si>
  <si>
    <t>Strom aktiv</t>
  </si>
  <si>
    <t>mA</t>
  </si>
  <si>
    <t>Mittelwert im aktiven Block</t>
  </si>
  <si>
    <t>Strom aktiv Spitze</t>
  </si>
  <si>
    <t>Hoechster gemessener Wert</t>
  </si>
  <si>
    <t>Spannung aktiv</t>
  </si>
  <si>
    <t>V</t>
  </si>
  <si>
    <t>Leistung aktiv</t>
  </si>
  <si>
    <t>mW</t>
  </si>
  <si>
    <t>Sleep-Strom CSV nach Clamping</t>
  </si>
  <si>
    <t>Negative Messwerte wurden fuer die Auswertung auf 0 gesetzt</t>
  </si>
  <si>
    <t>Sleep-Strom Modell</t>
  </si>
  <si>
    <t>Benutzerannahme: 40 uA Gesamtstrom im Sleep</t>
  </si>
  <si>
    <t>Modell</t>
  </si>
  <si>
    <t>Energie-Modell</t>
  </si>
  <si>
    <t>Batteriespannung, nutzbare Kapazitaet und Versorgungseffizienz werden beruecksichtigt.</t>
  </si>
  <si>
    <t>Wichtige Annahme</t>
  </si>
  <si>
    <t>Die Batterie wird als 1S / parallel angenommen. Keine Reihenschaltung fuer die direkte 3,3-V-Versorgung eintragen.</t>
  </si>
  <si>
    <t>Sicherheitsreserve</t>
  </si>
  <si>
    <t>Die Prognose verwendet standardmaessig 80 % nutzbare Kapazitaet, 10 % Alterungsreserve und 90 % Versorgungseffizienz.</t>
  </si>
  <si>
    <t>Laufzeitprognose - MKP MultiConnect Leer</t>
  </si>
  <si>
    <t>Deutsche Excel-Tabelle mit Dropdowns, Messdatenbasis und editierbaren Sicherheitsparametern</t>
  </si>
  <si>
    <t>Eingabe / Parameter</t>
  </si>
  <si>
    <t>Wert</t>
  </si>
  <si>
    <t>Einheit</t>
  </si>
  <si>
    <t>Bedeutung</t>
  </si>
  <si>
    <t>Aus Dropdown waehlen; eigene Typen zuerst im Blatt Batterien ergaenzen</t>
  </si>
  <si>
    <t>Anzahl Batterien parallel</t>
  </si>
  <si>
    <t>Stueck</t>
  </si>
  <si>
    <t>Dropdown 1-20; direkte Eingabe groesserer Werte ist moeglich</t>
  </si>
  <si>
    <t>Messintervall</t>
  </si>
  <si>
    <t>min</t>
  </si>
  <si>
    <t>Zeit zwischen zwei Messungen</t>
  </si>
  <si>
    <t>Aktive Messdauer</t>
  </si>
  <si>
    <t>Aus CSV-Messung</t>
  </si>
  <si>
    <t>Strom im aktiven Betrieb</t>
  </si>
  <si>
    <t>Aus CSV-Messung; editierbar</t>
  </si>
  <si>
    <t>Sleep-Strom Controller</t>
  </si>
  <si>
    <t>uA</t>
  </si>
  <si>
    <t>Zielwert nach Abschalten der 3,3-V-Peripherie</t>
  </si>
  <si>
    <t>Zusaetzlicher Sleep-/Leckstrom</t>
  </si>
  <si>
    <t>Reserve fuer noch unbekannte Reststroeme</t>
  </si>
  <si>
    <t>Lastspannung / 3,3-V-Schiene</t>
  </si>
  <si>
    <t>Ausgangsspannung der geschalteten Last</t>
  </si>
  <si>
    <t>Nennspannung Batterie</t>
  </si>
  <si>
    <t>Wird aus dem Batterietyp gelesen</t>
  </si>
  <si>
    <t>Versorgungs-/Wandlerwirkungsgrad</t>
  </si>
  <si>
    <t>%</t>
  </si>
  <si>
    <t>100 % bei direkter Versorgung; sonst Datenblattwert eintragen</t>
  </si>
  <si>
    <t>Nutzbarer Kapazitaetsanteil</t>
  </si>
  <si>
    <t>Beruecksichtigt Temperatur, Lastprofil und Abschaltspannung</t>
  </si>
  <si>
    <t>Reserve fuer Alterung / Unsicherheit</t>
  </si>
  <si>
    <t>Zusaetzlicher Sicherheitsabzug</t>
  </si>
  <si>
    <t>Berechnete Werte</t>
  </si>
  <si>
    <t>Ergebnis</t>
  </si>
  <si>
    <t>Formel / Hinweis</t>
  </si>
  <si>
    <t>Kapazitaet je Zelle</t>
  </si>
  <si>
    <t>Ah</t>
  </si>
  <si>
    <t>Aus Batterietabelle</t>
  </si>
  <si>
    <t>Gesamtkapazitaet nominal</t>
  </si>
  <si>
    <t>Kapazitaet je Zelle x Anzahl</t>
  </si>
  <si>
    <t>Nutzbare Kapazitaet nach Reserven</t>
  </si>
  <si>
    <t>Nominal x nutzbar x (1 - Alterungsreserve)</t>
  </si>
  <si>
    <t>Aktiver Anteil je Zyklus</t>
  </si>
  <si>
    <t>Aktive Messdauer / Messintervall</t>
  </si>
  <si>
    <t>Sleep-Dauer je Zyklus</t>
  </si>
  <si>
    <t>Messintervall - aktive Messdauer</t>
  </si>
  <si>
    <t>Sleep-Strom gesamt</t>
  </si>
  <si>
    <t>Controller + zusaetzlicher Leckstrom</t>
  </si>
  <si>
    <t>Mittlerer Laststrom auf 3,3 V</t>
  </si>
  <si>
    <t>Zeitgewichtetes Mittel</t>
  </si>
  <si>
    <t>Leistung im aktiven Betrieb</t>
  </si>
  <si>
    <t>W</t>
  </si>
  <si>
    <t>Strom aktiv x Lastspannung</t>
  </si>
  <si>
    <t>Leistung im Sleep</t>
  </si>
  <si>
    <t>Sleep-Strom x Lastspannung</t>
  </si>
  <si>
    <t>Mittlere Lastleistung</t>
  </si>
  <si>
    <t>Zeitgewichtetes Mittel auf der Lastseite</t>
  </si>
  <si>
    <t>Mittlere Batterieleistung</t>
  </si>
  <si>
    <t>Lastleistung / Wirkungsgrad</t>
  </si>
  <si>
    <t>Mittlerer Batteriestrom</t>
  </si>
  <si>
    <t>Batterieleistung / Batteriespannung</t>
  </si>
  <si>
    <t>Prognostizierte Laufzeit</t>
  </si>
  <si>
    <t>h</t>
  </si>
  <si>
    <t>Nutzbare Energie / mittlere Batterieleistung</t>
  </si>
  <si>
    <t>Tage</t>
  </si>
  <si>
    <t>Stunden / 24</t>
  </si>
  <si>
    <t>Jahre</t>
  </si>
  <si>
    <t>Tage / 365</t>
  </si>
  <si>
    <t>Verbrauch pro Tag</t>
  </si>
  <si>
    <t>mAh/Tag</t>
  </si>
  <si>
    <t>Mittlerer Batteriestrom x 24 h</t>
  </si>
  <si>
    <t>Verbrauch pro Messintervall</t>
  </si>
  <si>
    <t>mAh</t>
  </si>
  <si>
    <t>Mittlerer Batteriestrom x Intervall</t>
  </si>
  <si>
    <t>Schnellergebnis</t>
  </si>
  <si>
    <t>Auswahl</t>
  </si>
  <si>
    <t>Batterien parallel</t>
  </si>
  <si>
    <t>Laufzeit</t>
  </si>
  <si>
    <t>Verbrauch</t>
  </si>
  <si>
    <t>Sleep-Strom</t>
  </si>
  <si>
    <t>Interpretation: Die Prognose verwendet 40 uA Sleep-Strom plus den optionalen zusaetzlichen Leckstrom. Die aktive Messphase stammt aus der CSV-Messung. Die Zellzahl wird als Parallelschaltung gleicher 3,6-V-Zellen gerechnet.</t>
  </si>
  <si>
    <t>Batterievergleich bei den aktuellen Parametern</t>
  </si>
  <si>
    <t>Die Vergleichstabelle verwendet die Eingaben aus dem Blatt Prognose. Aendere dort Batterietyp, Zellzahl, Intervall oder Sleep-Strom.</t>
  </si>
  <si>
    <t>Ah/Zelle</t>
  </si>
  <si>
    <t>V/Zelle</t>
  </si>
  <si>
    <t>Gesamt Ah</t>
  </si>
  <si>
    <t>Nutzbar Ah</t>
  </si>
  <si>
    <t>Batteriestrom mA</t>
  </si>
  <si>
    <t>Laufzeit h</t>
  </si>
  <si>
    <t>Laufzeit Tage</t>
  </si>
  <si>
    <t>Laufzeit Jahre</t>
  </si>
  <si>
    <t>Verbrauch mAh/Tag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</si>
</sst>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59595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8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2" fontId="0" fillId="4" borderId="1" xfId="0" applyNumberFormat="1" applyFill="1" applyBorder="1"/>
    <xf numFmtId="164" fontId="0" fillId="4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0" fontId="0" fillId="7" borderId="1" xfId="0" applyNumberFormat="1" applyFill="1" applyBorder="1"/>
    <xf numFmtId="164" fontId="0" fillId="5" borderId="1" xfId="0" applyNumberFormat="1" applyFill="1" applyBorder="1"/>
    <xf numFmtId="165" fontId="0" fillId="7" borderId="1" xfId="0" applyNumberFormat="1" applyFill="1" applyBorder="1"/>
    <xf numFmtId="165" fontId="0" fillId="5" borderId="1" xfId="0" applyNumberFormat="1" applyFill="1" applyBorder="1"/>
    <xf numFmtId="2" fontId="0" fillId="7" borderId="1" xfId="0" applyNumberFormat="1" applyFill="1" applyBorder="1"/>
    <xf numFmtId="164" fontId="0" fillId="7" borderId="1" xfId="0" applyNumberFormat="1" applyFill="1" applyBorder="1"/>
    <xf numFmtId="0" fontId="1" fillId="8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Prognostizierte Laufzeit je Batterieauswahl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Laufzeit (Tage)</c:v>
          </c:tx>
          <c:invertIfNegative val="0"/>
          <c:cat>
            <c:strRef>
              <c:f>Vergleich!$A$5:$A$9</c:f>
              <c:strCache>
                <c:ptCount val="5"/>
                <c:pt idx="0">
                  <c:v>EVE INR18650-35E</c:v>
                </c:pt>
                <c:pt idx="1">
                  <c:v>Saft LS26500</c:v>
                </c:pt>
                <c:pt idx="2">
                  <c:v>Saft LSH14</c:v>
                </c:pt>
                <c:pt idx="3">
                  <c:v>Saft LS26500 PLUS</c:v>
                </c:pt>
                <c:pt idx="4">
                  <c:v>Saft LS14500</c:v>
                </c:pt>
              </c:strCache>
            </c:strRef>
          </c:cat>
          <c:val>
            <c:numRef>
              <c:f>Vergleich!$H$5:$H$9</c:f>
              <c:numCache>
                <c:formatCode>0.00</c:formatCode>
                <c:ptCount val="5"/>
                <c:pt idx="0">
                  <c:v>2065.5361468825708</c:v>
                </c:pt>
                <c:pt idx="1">
                  <c:v>4544.1795231416554</c:v>
                </c:pt>
                <c:pt idx="2">
                  <c:v>3422.8884719768316</c:v>
                </c:pt>
                <c:pt idx="3">
                  <c:v>5016.3020710005285</c:v>
                </c:pt>
                <c:pt idx="4">
                  <c:v>1534.3982805413382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0-4D13-BF54-23F97B03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851792"/>
        <c:axId val="1505945968"/>
      </c:barChart>
      <c:catAx>
        <c:axId val="157285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5945968"/>
        <c:crosses val="autoZero"/>
        <c:auto val="1"/>
        <c:lblAlgn val="ctr"/>
        <c:lblOffset val="100"/>
        <c:noMultiLvlLbl val="0"/>
      </c:catAx>
      <c:valAx>
        <c:axId val="15059459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728517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14</xdr:row>
      <xdr:rowOff>95250</xdr:rowOff>
    </xdr:from>
    <xdr:to>
      <xdr:col>9</xdr:col>
      <xdr:colOff>231775</xdr:colOff>
      <xdr:row>35</xdr:row>
      <xdr:rowOff>158750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5E503B5-7BD7-8F90-432F-6E12AA4DD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AAE8-4737-4A35-9FD8-19FBF6FCA576}">
  <dimension ref="A1:A2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919B-506F-4E29-BEAF-2EB46168A680}">
  <sheetPr>
    <tabColor rgb="FF595959"/>
  </sheetPr>
  <dimension ref="A1:D15"/>
  <sheetViews>
    <sheetView workbookViewId="0"/>
  </sheetViews>
  <sheetFormatPr baseColWidth="10" defaultRowHeight="15" x14ac:dyDescent="0.25"/>
  <cols>
    <col min="1" max="2" width="24.7109375" customWidth="1"/>
    <col min="3" max="3" width="14.7109375" customWidth="1"/>
    <col min="4" max="4" width="78.7109375" customWidth="1"/>
  </cols>
  <sheetData>
    <row r="1" spans="1:4" ht="21" x14ac:dyDescent="0.35">
      <c r="A1" s="20" t="s">
        <v>29</v>
      </c>
      <c r="B1" s="20"/>
      <c r="C1" s="20"/>
      <c r="D1" s="20"/>
    </row>
    <row r="3" spans="1:4" x14ac:dyDescent="0.25">
      <c r="A3" s="1" t="s">
        <v>30</v>
      </c>
      <c r="B3" s="1" t="s">
        <v>31</v>
      </c>
      <c r="C3" s="1"/>
      <c r="D3" s="1" t="s">
        <v>32</v>
      </c>
    </row>
    <row r="4" spans="1:4" x14ac:dyDescent="0.25">
      <c r="A4" s="3" t="s">
        <v>33</v>
      </c>
      <c r="B4" s="5">
        <v>94.882000000000005</v>
      </c>
      <c r="C4" s="3" t="s">
        <v>34</v>
      </c>
      <c r="D4" s="3" t="s">
        <v>35</v>
      </c>
    </row>
    <row r="5" spans="1:4" x14ac:dyDescent="0.25">
      <c r="A5" s="3" t="s">
        <v>36</v>
      </c>
      <c r="B5" s="5">
        <v>4.1959999999999997</v>
      </c>
      <c r="C5" s="3" t="s">
        <v>34</v>
      </c>
      <c r="D5" s="3" t="s">
        <v>37</v>
      </c>
    </row>
    <row r="6" spans="1:4" x14ac:dyDescent="0.25">
      <c r="A6" s="3" t="s">
        <v>38</v>
      </c>
      <c r="B6" s="5">
        <v>92.676000000000002</v>
      </c>
      <c r="C6" s="3" t="s">
        <v>39</v>
      </c>
      <c r="D6" s="3" t="s">
        <v>40</v>
      </c>
    </row>
    <row r="7" spans="1:4" x14ac:dyDescent="0.25">
      <c r="A7" s="3" t="s">
        <v>41</v>
      </c>
      <c r="B7" s="5">
        <v>252.2</v>
      </c>
      <c r="C7" s="3" t="s">
        <v>39</v>
      </c>
      <c r="D7" s="3" t="s">
        <v>42</v>
      </c>
    </row>
    <row r="8" spans="1:4" x14ac:dyDescent="0.25">
      <c r="A8" s="3" t="s">
        <v>43</v>
      </c>
      <c r="B8" s="5">
        <v>3.5179999999999998</v>
      </c>
      <c r="C8" s="3" t="s">
        <v>44</v>
      </c>
      <c r="D8" s="3" t="s">
        <v>40</v>
      </c>
    </row>
    <row r="9" spans="1:4" x14ac:dyDescent="0.25">
      <c r="A9" s="3" t="s">
        <v>45</v>
      </c>
      <c r="B9" s="5">
        <v>324.875</v>
      </c>
      <c r="C9" s="3" t="s">
        <v>46</v>
      </c>
      <c r="D9" s="3" t="s">
        <v>40</v>
      </c>
    </row>
    <row r="10" spans="1:4" x14ac:dyDescent="0.25">
      <c r="A10" s="3" t="s">
        <v>47</v>
      </c>
      <c r="B10" s="5">
        <v>6.2399999999999997E-2</v>
      </c>
      <c r="C10" s="3" t="s">
        <v>39</v>
      </c>
      <c r="D10" s="3" t="s">
        <v>48</v>
      </c>
    </row>
    <row r="11" spans="1:4" x14ac:dyDescent="0.25">
      <c r="A11" s="3" t="s">
        <v>49</v>
      </c>
      <c r="B11" s="5">
        <v>0.04</v>
      </c>
      <c r="C11" s="3" t="s">
        <v>39</v>
      </c>
      <c r="D11" s="3" t="s">
        <v>50</v>
      </c>
    </row>
    <row r="12" spans="1:4" x14ac:dyDescent="0.25">
      <c r="A12" s="3"/>
      <c r="B12" s="3"/>
      <c r="C12" s="3"/>
      <c r="D12" s="3"/>
    </row>
    <row r="13" spans="1:4" x14ac:dyDescent="0.25">
      <c r="A13" s="6" t="s">
        <v>51</v>
      </c>
      <c r="B13" s="6" t="s">
        <v>52</v>
      </c>
      <c r="C13" s="6"/>
      <c r="D13" s="6" t="s">
        <v>53</v>
      </c>
    </row>
    <row r="14" spans="1:4" ht="32.1" customHeight="1" x14ac:dyDescent="0.25">
      <c r="A14" s="6" t="s">
        <v>54</v>
      </c>
      <c r="B14" s="6"/>
      <c r="C14" s="6"/>
      <c r="D14" s="6" t="s">
        <v>55</v>
      </c>
    </row>
    <row r="15" spans="1:4" ht="32.1" customHeight="1" x14ac:dyDescent="0.25">
      <c r="A15" s="6" t="s">
        <v>56</v>
      </c>
      <c r="B15" s="6"/>
      <c r="C15" s="6"/>
      <c r="D15" s="6" t="s">
        <v>57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618F-F14B-4CA4-A65B-C0E433516429}">
  <sheetPr>
    <tabColor rgb="FF1F4E79"/>
  </sheetPr>
  <dimension ref="A1:G11"/>
  <sheetViews>
    <sheetView workbookViewId="0"/>
  </sheetViews>
  <sheetFormatPr baseColWidth="10" defaultRowHeight="15" x14ac:dyDescent="0.25"/>
  <cols>
    <col min="1" max="1" width="25.7109375" customWidth="1"/>
    <col min="2" max="2" width="12.7109375" customWidth="1"/>
    <col min="3" max="3" width="17.7109375" customWidth="1"/>
    <col min="4" max="4" width="20.7109375" customWidth="1"/>
    <col min="5" max="5" width="24.7109375" customWidth="1"/>
    <col min="6" max="6" width="20.7109375" customWidth="1"/>
    <col min="7" max="7" width="62.7109375" customWidth="1"/>
  </cols>
  <sheetData>
    <row r="1" spans="1:7" ht="21" x14ac:dyDescent="0.35">
      <c r="A1" s="20" t="s">
        <v>1</v>
      </c>
      <c r="B1" s="20"/>
      <c r="C1" s="20"/>
      <c r="D1" s="20"/>
      <c r="E1" s="20"/>
      <c r="F1" s="20"/>
      <c r="G1" s="20"/>
    </row>
    <row r="3" spans="1:7" ht="33.950000000000003" customHeight="1" x14ac:dyDescent="0.25">
      <c r="A3" s="21" t="s">
        <v>2</v>
      </c>
      <c r="B3" s="21"/>
      <c r="C3" s="21"/>
      <c r="D3" s="21"/>
      <c r="E3" s="21"/>
      <c r="F3" s="21"/>
      <c r="G3" s="21"/>
    </row>
    <row r="4" spans="1:7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x14ac:dyDescent="0.25">
      <c r="A5" s="3" t="s">
        <v>10</v>
      </c>
      <c r="B5" s="3" t="s">
        <v>11</v>
      </c>
      <c r="C5" s="4">
        <v>3.6</v>
      </c>
      <c r="D5" s="4">
        <v>3.5</v>
      </c>
      <c r="E5" s="3" t="s">
        <v>12</v>
      </c>
      <c r="F5" s="3" t="s">
        <v>13</v>
      </c>
      <c r="G5" s="3" t="s">
        <v>14</v>
      </c>
    </row>
    <row r="6" spans="1:7" x14ac:dyDescent="0.25">
      <c r="A6" s="3" t="s">
        <v>15</v>
      </c>
      <c r="B6" s="3" t="s">
        <v>16</v>
      </c>
      <c r="C6" s="4">
        <v>3.6</v>
      </c>
      <c r="D6" s="4">
        <v>7.7</v>
      </c>
      <c r="E6" s="3" t="s">
        <v>17</v>
      </c>
      <c r="F6" s="3" t="s">
        <v>18</v>
      </c>
      <c r="G6" s="3" t="s">
        <v>19</v>
      </c>
    </row>
    <row r="7" spans="1:7" x14ac:dyDescent="0.25">
      <c r="A7" s="3" t="s">
        <v>20</v>
      </c>
      <c r="B7" s="3" t="s">
        <v>16</v>
      </c>
      <c r="C7" s="4">
        <v>3.6</v>
      </c>
      <c r="D7" s="4">
        <v>5.8</v>
      </c>
      <c r="E7" s="3" t="s">
        <v>21</v>
      </c>
      <c r="F7" s="3" t="s">
        <v>18</v>
      </c>
      <c r="G7" s="3" t="s">
        <v>22</v>
      </c>
    </row>
    <row r="8" spans="1:7" x14ac:dyDescent="0.25">
      <c r="A8" s="3" t="s">
        <v>23</v>
      </c>
      <c r="B8" s="3" t="s">
        <v>16</v>
      </c>
      <c r="C8" s="4">
        <v>3.6</v>
      </c>
      <c r="D8" s="4">
        <v>8.5</v>
      </c>
      <c r="E8" s="3" t="s">
        <v>17</v>
      </c>
      <c r="F8" s="3" t="s">
        <v>18</v>
      </c>
      <c r="G8" s="3" t="s">
        <v>24</v>
      </c>
    </row>
    <row r="9" spans="1:7" x14ac:dyDescent="0.25">
      <c r="A9" s="3" t="s">
        <v>25</v>
      </c>
      <c r="B9" s="3" t="s">
        <v>16</v>
      </c>
      <c r="C9" s="4">
        <v>3.6</v>
      </c>
      <c r="D9" s="4">
        <v>2.6</v>
      </c>
      <c r="E9" s="3" t="s">
        <v>17</v>
      </c>
      <c r="F9" s="3" t="s">
        <v>26</v>
      </c>
      <c r="G9" s="3" t="s">
        <v>27</v>
      </c>
    </row>
    <row r="11" spans="1:7" ht="42" customHeight="1" x14ac:dyDescent="0.25">
      <c r="A11" s="22" t="s">
        <v>28</v>
      </c>
      <c r="B11" s="22"/>
      <c r="C11" s="22"/>
      <c r="D11" s="22"/>
      <c r="E11" s="22"/>
      <c r="F11" s="22"/>
      <c r="G11" s="22"/>
    </row>
  </sheetData>
  <autoFilter ref="A4:G9" xr:uid="{8F81618F-F14B-4CA4-A65B-C0E433516429}"/>
  <mergeCells count="3">
    <mergeCell ref="A1:G1"/>
    <mergeCell ref="A3:G3"/>
    <mergeCell ref="A11:G1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8DA9-41BD-4CF8-9A83-3092568B0216}">
  <sheetPr>
    <tabColor rgb="FFFCE4D6"/>
  </sheetPr>
  <dimension ref="A1:J9"/>
  <sheetViews>
    <sheetView workbookViewId="0"/>
  </sheetViews>
  <sheetFormatPr baseColWidth="10" defaultRowHeight="15" x14ac:dyDescent="0.25"/>
  <cols>
    <col min="1" max="1" width="25.7109375" customWidth="1"/>
    <col min="2" max="2" width="11.7109375" customWidth="1"/>
    <col min="3" max="3" width="10.7109375" customWidth="1"/>
    <col min="4" max="5" width="12.7109375" customWidth="1"/>
    <col min="6" max="6" width="16.7109375" customWidth="1"/>
    <col min="7" max="7" width="14.7109375" customWidth="1"/>
    <col min="8" max="9" width="16.7109375" customWidth="1"/>
    <col min="10" max="10" width="18.7109375" customWidth="1"/>
  </cols>
  <sheetData>
    <row r="1" spans="1:10" ht="21" x14ac:dyDescent="0.35">
      <c r="A1" s="20" t="s">
        <v>140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32.1" customHeight="1" x14ac:dyDescent="0.25">
      <c r="A3" s="22" t="s">
        <v>141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25">
      <c r="A4" s="1" t="s">
        <v>3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</row>
    <row r="5" spans="1:10" x14ac:dyDescent="0.25">
      <c r="A5" s="3" t="str">
        <f>Batterien!A5</f>
        <v>EVE INR18650-35E</v>
      </c>
      <c r="B5" s="4">
        <f>Batterien!D5</f>
        <v>3.5</v>
      </c>
      <c r="C5" s="4">
        <f>Batterien!C5</f>
        <v>3.6</v>
      </c>
      <c r="D5" s="4">
        <f>B5*Prognose!$B$6</f>
        <v>14</v>
      </c>
      <c r="E5" s="4">
        <f>D5*Prognose!$B$15/100*(1-Prognose!$B$16/100)</f>
        <v>10.08</v>
      </c>
      <c r="F5" s="5">
        <f>IFERROR((Prognose!$B$29/1000)/(Prognose!$B$14/100)/C5*1000,0)</f>
        <v>0.20333703703703701</v>
      </c>
      <c r="G5" s="4">
        <f>IFERROR(E5*C5/((Prognose!$B$29/1000)/(Prognose!$B$14/100)),0)</f>
        <v>49572.867525181704</v>
      </c>
      <c r="H5" s="4">
        <f>G5/24</f>
        <v>2065.5361468825708</v>
      </c>
      <c r="I5" s="4">
        <f>H5/365</f>
        <v>5.6590031421440301</v>
      </c>
      <c r="J5" s="5">
        <f>F5*24</f>
        <v>4.8800888888888885</v>
      </c>
    </row>
    <row r="6" spans="1:10" x14ac:dyDescent="0.25">
      <c r="A6" s="3" t="str">
        <f>Batterien!A6</f>
        <v>Saft LS26500</v>
      </c>
      <c r="B6" s="4">
        <f>Batterien!D6</f>
        <v>7.7</v>
      </c>
      <c r="C6" s="4">
        <f>Batterien!C6</f>
        <v>3.6</v>
      </c>
      <c r="D6" s="4">
        <f>B6*Prognose!$B$6</f>
        <v>30.8</v>
      </c>
      <c r="E6" s="4">
        <f>D6*Prognose!$B$15/100*(1-Prognose!$B$16/100)</f>
        <v>22.176000000000002</v>
      </c>
      <c r="F6" s="5">
        <f>IFERROR((Prognose!$B$29/1000)/(Prognose!$B$14/100)/C6*1000,0)</f>
        <v>0.20333703703703701</v>
      </c>
      <c r="G6" s="4">
        <f>IFERROR(E6*C6/((Prognose!$B$29/1000)/(Prognose!$B$14/100)),0)</f>
        <v>109060.30855539974</v>
      </c>
      <c r="H6" s="4">
        <f>G6/24</f>
        <v>4544.1795231416554</v>
      </c>
      <c r="I6" s="4">
        <f>H6/365</f>
        <v>12.449806912716864</v>
      </c>
      <c r="J6" s="5">
        <f>F6*24</f>
        <v>4.8800888888888885</v>
      </c>
    </row>
    <row r="7" spans="1:10" x14ac:dyDescent="0.25">
      <c r="A7" s="3" t="str">
        <f>Batterien!A7</f>
        <v>Saft LSH14</v>
      </c>
      <c r="B7" s="4">
        <f>Batterien!D7</f>
        <v>5.8</v>
      </c>
      <c r="C7" s="4">
        <f>Batterien!C7</f>
        <v>3.6</v>
      </c>
      <c r="D7" s="4">
        <f>B7*Prognose!$B$6</f>
        <v>23.2</v>
      </c>
      <c r="E7" s="4">
        <f>D7*Prognose!$B$15/100*(1-Prognose!$B$16/100)</f>
        <v>16.704000000000001</v>
      </c>
      <c r="F7" s="5">
        <f>IFERROR((Prognose!$B$29/1000)/(Prognose!$B$14/100)/C7*1000,0)</f>
        <v>0.20333703703703701</v>
      </c>
      <c r="G7" s="4">
        <f>IFERROR(E7*C7/((Prognose!$B$29/1000)/(Prognose!$B$14/100)),0)</f>
        <v>82149.323327443955</v>
      </c>
      <c r="H7" s="4">
        <f>G7/24</f>
        <v>3422.8884719768316</v>
      </c>
      <c r="I7" s="4">
        <f>H7/365</f>
        <v>9.3777766355529639</v>
      </c>
      <c r="J7" s="5">
        <f>F7*24</f>
        <v>4.8800888888888885</v>
      </c>
    </row>
    <row r="8" spans="1:10" x14ac:dyDescent="0.25">
      <c r="A8" s="3" t="str">
        <f>Batterien!A8</f>
        <v>Saft LS26500 PLUS</v>
      </c>
      <c r="B8" s="4">
        <f>Batterien!D8</f>
        <v>8.5</v>
      </c>
      <c r="C8" s="4">
        <f>Batterien!C8</f>
        <v>3.6</v>
      </c>
      <c r="D8" s="4">
        <f>B8*Prognose!$B$6</f>
        <v>34</v>
      </c>
      <c r="E8" s="4">
        <f>D8*Prognose!$B$15/100*(1-Prognose!$B$16/100)</f>
        <v>24.48</v>
      </c>
      <c r="F8" s="5">
        <f>IFERROR((Prognose!$B$29/1000)/(Prognose!$B$14/100)/C8*1000,0)</f>
        <v>0.20333703703703701</v>
      </c>
      <c r="G8" s="4">
        <f>IFERROR(E8*C8/((Prognose!$B$29/1000)/(Prognose!$B$14/100)),0)</f>
        <v>120391.24970401269</v>
      </c>
      <c r="H8" s="4">
        <f>G8/24</f>
        <v>5016.3020710005285</v>
      </c>
      <c r="I8" s="4">
        <f>H8/365</f>
        <v>13.743293345206927</v>
      </c>
      <c r="J8" s="5">
        <f>F8*24</f>
        <v>4.8800888888888885</v>
      </c>
    </row>
    <row r="9" spans="1:10" x14ac:dyDescent="0.25">
      <c r="A9" s="3" t="str">
        <f>Batterien!A9</f>
        <v>Saft LS14500</v>
      </c>
      <c r="B9" s="4">
        <f>Batterien!D9</f>
        <v>2.6</v>
      </c>
      <c r="C9" s="4">
        <f>Batterien!C9</f>
        <v>3.6</v>
      </c>
      <c r="D9" s="4">
        <f>B9*Prognose!$B$6</f>
        <v>10.4</v>
      </c>
      <c r="E9" s="4">
        <f>D9*Prognose!$B$15/100*(1-Prognose!$B$16/100)</f>
        <v>7.4880000000000004</v>
      </c>
      <c r="F9" s="5">
        <f>IFERROR((Prognose!$B$29/1000)/(Prognose!$B$14/100)/C9*1000,0)</f>
        <v>0.20333703703703701</v>
      </c>
      <c r="G9" s="4">
        <f>IFERROR(E9*C9/((Prognose!$B$29/1000)/(Prognose!$B$14/100)),0)</f>
        <v>36825.558732992118</v>
      </c>
      <c r="H9" s="4">
        <f>G9/24</f>
        <v>1534.3982805413382</v>
      </c>
      <c r="I9" s="4">
        <f>H9/365</f>
        <v>4.2038309055927074</v>
      </c>
      <c r="J9" s="5">
        <f>F9*24</f>
        <v>4.8800888888888885</v>
      </c>
    </row>
  </sheetData>
  <autoFilter ref="A4:J9" xr:uid="{8EAC8DA9-41BD-4CF8-9A83-3092568B0216}"/>
  <mergeCells count="2">
    <mergeCell ref="A1:J1"/>
    <mergeCell ref="A3:J3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4774-1E7F-4F00-AFAB-860024D7638D}">
  <sheetPr>
    <tabColor rgb="FFE2EFDA"/>
  </sheetPr>
  <dimension ref="A1:H36"/>
  <sheetViews>
    <sheetView tabSelected="1" workbookViewId="0">
      <pane ySplit="4" topLeftCell="A5" activePane="bottomLeft" state="frozen"/>
      <selection pane="bottomLeft" activeCell="B10" sqref="B10"/>
    </sheetView>
  </sheetViews>
  <sheetFormatPr baseColWidth="10" defaultRowHeight="15" x14ac:dyDescent="0.25"/>
  <cols>
    <col min="1" max="1" width="34.7109375" customWidth="1"/>
    <col min="2" max="2" width="16.7109375" customWidth="1"/>
    <col min="3" max="3" width="12.7109375" customWidth="1"/>
    <col min="4" max="4" width="58.7109375" customWidth="1"/>
    <col min="5" max="5" width="3.7109375" customWidth="1"/>
    <col min="6" max="6" width="25.7109375" customWidth="1"/>
    <col min="7" max="7" width="16.7109375" customWidth="1"/>
    <col min="8" max="8" width="12.7109375" customWidth="1"/>
  </cols>
  <sheetData>
    <row r="1" spans="1:8" ht="24" x14ac:dyDescent="0.4">
      <c r="A1" s="16" t="s">
        <v>58</v>
      </c>
      <c r="B1" s="16"/>
      <c r="C1" s="16"/>
      <c r="D1" s="16"/>
      <c r="E1" s="16"/>
      <c r="F1" s="16"/>
      <c r="G1" s="16"/>
      <c r="H1" s="16"/>
    </row>
    <row r="2" spans="1:8" ht="24" customHeight="1" x14ac:dyDescent="0.25">
      <c r="A2" s="17" t="s">
        <v>59</v>
      </c>
      <c r="B2" s="17"/>
      <c r="C2" s="17"/>
      <c r="D2" s="17"/>
      <c r="E2" s="17"/>
      <c r="F2" s="17"/>
      <c r="G2" s="17"/>
      <c r="H2" s="17"/>
    </row>
    <row r="4" spans="1:8" x14ac:dyDescent="0.25">
      <c r="A4" s="1" t="s">
        <v>60</v>
      </c>
      <c r="B4" s="1" t="s">
        <v>61</v>
      </c>
      <c r="C4" s="1" t="s">
        <v>62</v>
      </c>
      <c r="D4" s="1" t="s">
        <v>63</v>
      </c>
      <c r="F4" s="18" t="s">
        <v>133</v>
      </c>
      <c r="G4" s="18"/>
      <c r="H4" s="18"/>
    </row>
    <row r="5" spans="1:8" x14ac:dyDescent="0.25">
      <c r="A5" s="7" t="s">
        <v>3</v>
      </c>
      <c r="B5" s="6" t="s">
        <v>23</v>
      </c>
      <c r="C5" s="2"/>
      <c r="D5" s="2" t="s">
        <v>64</v>
      </c>
      <c r="F5" s="15" t="s">
        <v>134</v>
      </c>
      <c r="G5" s="15" t="s">
        <v>61</v>
      </c>
      <c r="H5" s="15" t="s">
        <v>62</v>
      </c>
    </row>
    <row r="6" spans="1:8" x14ac:dyDescent="0.25">
      <c r="A6" s="7" t="s">
        <v>65</v>
      </c>
      <c r="B6" s="6">
        <v>4</v>
      </c>
      <c r="C6" s="2" t="s">
        <v>66</v>
      </c>
      <c r="D6" s="2" t="s">
        <v>67</v>
      </c>
      <c r="F6" s="7" t="s">
        <v>3</v>
      </c>
      <c r="G6" s="8" t="str">
        <f>B5</f>
        <v>Saft LS26500 PLUS</v>
      </c>
      <c r="H6" s="2"/>
    </row>
    <row r="7" spans="1:8" x14ac:dyDescent="0.25">
      <c r="A7" s="7" t="s">
        <v>68</v>
      </c>
      <c r="B7" s="10">
        <v>60</v>
      </c>
      <c r="C7" s="2" t="s">
        <v>69</v>
      </c>
      <c r="D7" s="2" t="s">
        <v>70</v>
      </c>
      <c r="F7" s="7" t="s">
        <v>135</v>
      </c>
      <c r="G7" s="8">
        <f>B6</f>
        <v>4</v>
      </c>
      <c r="H7" s="2" t="s">
        <v>66</v>
      </c>
    </row>
    <row r="8" spans="1:8" x14ac:dyDescent="0.25">
      <c r="A8" s="7" t="s">
        <v>71</v>
      </c>
      <c r="B8" s="10">
        <v>8</v>
      </c>
      <c r="C8" s="2" t="s">
        <v>34</v>
      </c>
      <c r="D8" s="2" t="s">
        <v>72</v>
      </c>
      <c r="F8" s="7" t="s">
        <v>136</v>
      </c>
      <c r="G8" s="13">
        <f>B34</f>
        <v>13.743293345206927</v>
      </c>
      <c r="H8" s="2" t="s">
        <v>125</v>
      </c>
    </row>
    <row r="9" spans="1:8" x14ac:dyDescent="0.25">
      <c r="A9" s="7" t="s">
        <v>73</v>
      </c>
      <c r="B9" s="10">
        <v>62</v>
      </c>
      <c r="C9" s="2" t="s">
        <v>39</v>
      </c>
      <c r="D9" s="2" t="s">
        <v>74</v>
      </c>
      <c r="F9" s="7" t="s">
        <v>137</v>
      </c>
      <c r="G9" s="13">
        <f>B35</f>
        <v>4.8800888888888885</v>
      </c>
      <c r="H9" s="2" t="s">
        <v>128</v>
      </c>
    </row>
    <row r="10" spans="1:8" x14ac:dyDescent="0.25">
      <c r="A10" s="7" t="s">
        <v>75</v>
      </c>
      <c r="B10" s="10">
        <v>40</v>
      </c>
      <c r="C10" s="2" t="s">
        <v>76</v>
      </c>
      <c r="D10" s="2" t="s">
        <v>77</v>
      </c>
      <c r="F10" s="7" t="s">
        <v>138</v>
      </c>
      <c r="G10" s="13">
        <f>B25*1000</f>
        <v>62</v>
      </c>
      <c r="H10" s="2" t="s">
        <v>76</v>
      </c>
    </row>
    <row r="11" spans="1:8" x14ac:dyDescent="0.25">
      <c r="A11" s="7" t="s">
        <v>78</v>
      </c>
      <c r="B11" s="10">
        <v>22</v>
      </c>
      <c r="C11" s="2" t="s">
        <v>76</v>
      </c>
      <c r="D11" s="2" t="s">
        <v>79</v>
      </c>
    </row>
    <row r="12" spans="1:8" ht="48" customHeight="1" x14ac:dyDescent="0.25">
      <c r="A12" s="7" t="s">
        <v>80</v>
      </c>
      <c r="B12" s="10">
        <v>3.3</v>
      </c>
      <c r="C12" s="2" t="s">
        <v>44</v>
      </c>
      <c r="D12" s="2" t="s">
        <v>81</v>
      </c>
      <c r="F12" s="19" t="s">
        <v>139</v>
      </c>
      <c r="G12" s="19"/>
      <c r="H12" s="19"/>
    </row>
    <row r="13" spans="1:8" x14ac:dyDescent="0.25">
      <c r="A13" s="7" t="s">
        <v>82</v>
      </c>
      <c r="B13" s="11">
        <f>IFERROR(VLOOKUP(B5,Batterien!$A$5:$G$9,3,FALSE),0)</f>
        <v>3.6</v>
      </c>
      <c r="C13" s="2" t="s">
        <v>44</v>
      </c>
      <c r="D13" s="2" t="s">
        <v>83</v>
      </c>
      <c r="F13" s="19"/>
      <c r="G13" s="19"/>
      <c r="H13" s="19"/>
    </row>
    <row r="14" spans="1:8" x14ac:dyDescent="0.25">
      <c r="A14" s="7" t="s">
        <v>84</v>
      </c>
      <c r="B14" s="12">
        <v>90</v>
      </c>
      <c r="C14" s="2" t="s">
        <v>85</v>
      </c>
      <c r="D14" s="2" t="s">
        <v>86</v>
      </c>
      <c r="F14" s="19"/>
      <c r="G14" s="19"/>
      <c r="H14" s="19"/>
    </row>
    <row r="15" spans="1:8" ht="32.1" customHeight="1" x14ac:dyDescent="0.25">
      <c r="A15" s="7" t="s">
        <v>87</v>
      </c>
      <c r="B15" s="12">
        <v>80</v>
      </c>
      <c r="C15" s="2" t="s">
        <v>85</v>
      </c>
      <c r="D15" s="2" t="s">
        <v>88</v>
      </c>
      <c r="F15" s="19"/>
      <c r="G15" s="19"/>
      <c r="H15" s="19"/>
    </row>
    <row r="16" spans="1:8" ht="32.1" customHeight="1" x14ac:dyDescent="0.25">
      <c r="A16" s="7" t="s">
        <v>89</v>
      </c>
      <c r="B16" s="12">
        <v>10</v>
      </c>
      <c r="C16" s="2" t="s">
        <v>85</v>
      </c>
      <c r="D16" s="2" t="s">
        <v>90</v>
      </c>
    </row>
    <row r="19" spans="1:4" x14ac:dyDescent="0.25">
      <c r="A19" s="1" t="s">
        <v>91</v>
      </c>
      <c r="B19" s="1" t="s">
        <v>92</v>
      </c>
      <c r="C19" s="1" t="s">
        <v>62</v>
      </c>
      <c r="D19" s="1" t="s">
        <v>93</v>
      </c>
    </row>
    <row r="20" spans="1:4" x14ac:dyDescent="0.25">
      <c r="A20" s="7" t="s">
        <v>94</v>
      </c>
      <c r="B20" s="13">
        <f>IFERROR(VLOOKUP(B5,Batterien!$A$5:$G$9,4,FALSE),0)</f>
        <v>8.5</v>
      </c>
      <c r="C20" s="2" t="s">
        <v>95</v>
      </c>
      <c r="D20" s="2" t="s">
        <v>96</v>
      </c>
    </row>
    <row r="21" spans="1:4" x14ac:dyDescent="0.25">
      <c r="A21" s="7" t="s">
        <v>97</v>
      </c>
      <c r="B21" s="13">
        <f>B20*B6</f>
        <v>34</v>
      </c>
      <c r="C21" s="2" t="s">
        <v>95</v>
      </c>
      <c r="D21" s="2" t="s">
        <v>98</v>
      </c>
    </row>
    <row r="22" spans="1:4" x14ac:dyDescent="0.25">
      <c r="A22" s="7" t="s">
        <v>99</v>
      </c>
      <c r="B22" s="13">
        <f>B21*B15/100*(1-B16/100)</f>
        <v>24.48</v>
      </c>
      <c r="C22" s="2" t="s">
        <v>95</v>
      </c>
      <c r="D22" s="2" t="s">
        <v>100</v>
      </c>
    </row>
    <row r="23" spans="1:4" x14ac:dyDescent="0.25">
      <c r="A23" s="7" t="s">
        <v>101</v>
      </c>
      <c r="B23" s="9">
        <f>IFERROR(B8/(B7*60),0)</f>
        <v>2.2222222222222222E-3</v>
      </c>
      <c r="C23" s="2" t="s">
        <v>85</v>
      </c>
      <c r="D23" s="2" t="s">
        <v>102</v>
      </c>
    </row>
    <row r="24" spans="1:4" x14ac:dyDescent="0.25">
      <c r="A24" s="7" t="s">
        <v>103</v>
      </c>
      <c r="B24" s="14">
        <f>MAX(0,B7*60-B8)</f>
        <v>3592</v>
      </c>
      <c r="C24" s="2" t="s">
        <v>34</v>
      </c>
      <c r="D24" s="2" t="s">
        <v>104</v>
      </c>
    </row>
    <row r="25" spans="1:4" x14ac:dyDescent="0.25">
      <c r="A25" s="7" t="s">
        <v>105</v>
      </c>
      <c r="B25" s="14">
        <f>(B10+B11)/1000</f>
        <v>6.2E-2</v>
      </c>
      <c r="C25" s="2" t="s">
        <v>39</v>
      </c>
      <c r="D25" s="2" t="s">
        <v>106</v>
      </c>
    </row>
    <row r="26" spans="1:4" x14ac:dyDescent="0.25">
      <c r="A26" s="7" t="s">
        <v>107</v>
      </c>
      <c r="B26" s="14">
        <f>IFERROR((B9*B8+B25*B24)/(B7*60),0)</f>
        <v>0.19963999999999998</v>
      </c>
      <c r="C26" s="2" t="s">
        <v>39</v>
      </c>
      <c r="D26" s="2" t="s">
        <v>108</v>
      </c>
    </row>
    <row r="27" spans="1:4" x14ac:dyDescent="0.25">
      <c r="A27" s="7" t="s">
        <v>109</v>
      </c>
      <c r="B27" s="14">
        <f>B9/1000*B12</f>
        <v>0.20459999999999998</v>
      </c>
      <c r="C27" s="2" t="s">
        <v>110</v>
      </c>
      <c r="D27" s="2" t="s">
        <v>111</v>
      </c>
    </row>
    <row r="28" spans="1:4" x14ac:dyDescent="0.25">
      <c r="A28" s="7" t="s">
        <v>112</v>
      </c>
      <c r="B28" s="14">
        <f>B25/1000*B12</f>
        <v>2.0459999999999999E-4</v>
      </c>
      <c r="C28" s="2" t="s">
        <v>110</v>
      </c>
      <c r="D28" s="2" t="s">
        <v>113</v>
      </c>
    </row>
    <row r="29" spans="1:4" x14ac:dyDescent="0.25">
      <c r="A29" s="7" t="s">
        <v>114</v>
      </c>
      <c r="B29" s="14">
        <f>IFERROR((B27*B8+B28*B24)/(B7*60)*1000,0)</f>
        <v>0.65881199999999995</v>
      </c>
      <c r="C29" s="2" t="s">
        <v>46</v>
      </c>
      <c r="D29" s="2" t="s">
        <v>115</v>
      </c>
    </row>
    <row r="30" spans="1:4" x14ac:dyDescent="0.25">
      <c r="A30" s="7" t="s">
        <v>116</v>
      </c>
      <c r="B30" s="14">
        <f>IFERROR(B29/1000/(B14/100),0)</f>
        <v>7.3201333333333327E-4</v>
      </c>
      <c r="C30" s="2" t="s">
        <v>110</v>
      </c>
      <c r="D30" s="2" t="s">
        <v>117</v>
      </c>
    </row>
    <row r="31" spans="1:4" x14ac:dyDescent="0.25">
      <c r="A31" s="7" t="s">
        <v>118</v>
      </c>
      <c r="B31" s="14">
        <f>IFERROR(B30/B13*1000,0)</f>
        <v>0.20333703703703701</v>
      </c>
      <c r="C31" s="2" t="s">
        <v>39</v>
      </c>
      <c r="D31" s="2" t="s">
        <v>119</v>
      </c>
    </row>
    <row r="32" spans="1:4" x14ac:dyDescent="0.25">
      <c r="A32" s="7" t="s">
        <v>120</v>
      </c>
      <c r="B32" s="13">
        <f>IFERROR(B22*B13/B30,0)</f>
        <v>120391.24970401269</v>
      </c>
      <c r="C32" s="2" t="s">
        <v>121</v>
      </c>
      <c r="D32" s="2" t="s">
        <v>122</v>
      </c>
    </row>
    <row r="33" spans="1:4" x14ac:dyDescent="0.25">
      <c r="A33" s="7" t="s">
        <v>120</v>
      </c>
      <c r="B33" s="13">
        <f>B32/24</f>
        <v>5016.3020710005285</v>
      </c>
      <c r="C33" s="2" t="s">
        <v>123</v>
      </c>
      <c r="D33" s="2" t="s">
        <v>124</v>
      </c>
    </row>
    <row r="34" spans="1:4" x14ac:dyDescent="0.25">
      <c r="A34" s="7" t="s">
        <v>120</v>
      </c>
      <c r="B34" s="13">
        <f>B33/365</f>
        <v>13.743293345206927</v>
      </c>
      <c r="C34" s="2" t="s">
        <v>125</v>
      </c>
      <c r="D34" s="2" t="s">
        <v>126</v>
      </c>
    </row>
    <row r="35" spans="1:4" x14ac:dyDescent="0.25">
      <c r="A35" s="7" t="s">
        <v>127</v>
      </c>
      <c r="B35" s="14">
        <f>B31*24</f>
        <v>4.8800888888888885</v>
      </c>
      <c r="C35" s="2" t="s">
        <v>128</v>
      </c>
      <c r="D35" s="2" t="s">
        <v>129</v>
      </c>
    </row>
    <row r="36" spans="1:4" ht="30" customHeight="1" x14ac:dyDescent="0.25">
      <c r="A36" s="7" t="s">
        <v>130</v>
      </c>
      <c r="B36" s="14">
        <f>B31*B7/60</f>
        <v>0.20333703703703701</v>
      </c>
      <c r="C36" s="2" t="s">
        <v>131</v>
      </c>
      <c r="D36" s="2" t="s">
        <v>132</v>
      </c>
    </row>
  </sheetData>
  <mergeCells count="4">
    <mergeCell ref="A1:H1"/>
    <mergeCell ref="A2:H2"/>
    <mergeCell ref="F4:H4"/>
    <mergeCell ref="F12:H15"/>
  </mergeCells>
  <dataValidations count="2">
    <dataValidation type="list" errorStyle="warning" showInputMessage="1" showErrorMessage="1" errorTitle="Batterietyp" error="Bitte einen Typ aus dem Dropdown waehlen oder einen eigenen Typ eintragen." sqref="B5" xr:uid="{9066E5E8-FADB-4A1E-B4A6-154CF285CB6B}">
      <formula1>BatterieListe</formula1>
    </dataValidation>
    <dataValidation type="list" errorStyle="warning" showInputMessage="1" showErrorMessage="1" errorTitle="Anzahl Batterien" error="Bitte 1 bis 20 auswaehlen oder eine eigene positive Anzahl eingeben." sqref="B6" xr:uid="{24A967FA-E403-4C71-8E9C-3BFE8E23E3E1}">
      <formula1>ZellenListe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Listen</vt:lpstr>
      <vt:lpstr>Datenbasis</vt:lpstr>
      <vt:lpstr>Batterien</vt:lpstr>
      <vt:lpstr>Vergleich</vt:lpstr>
      <vt:lpstr>Prognose</vt:lpstr>
      <vt:lpstr>BatterieListe</vt:lpstr>
      <vt:lpstr>ZellenListe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Sliusar</dc:creator>
  <cp:lastModifiedBy>Roman Sliusar</cp:lastModifiedBy>
  <dcterms:created xsi:type="dcterms:W3CDTF">2026-09-11T11:21:52Z</dcterms:created>
  <dcterms:modified xsi:type="dcterms:W3CDTF">2026-09-11T13:16:32Z</dcterms:modified>
</cp:coreProperties>
</file>